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fore Vs After" sheetId="1" r:id="rId5"/>
    <sheet state="visible" name="CSAT Trend" sheetId="2" r:id="rId6"/>
    <sheet state="visible" name="Escalation Trend" sheetId="3" r:id="rId7"/>
    <sheet state="visible" name="Training Completion" sheetId="4" r:id="rId8"/>
  </sheets>
  <definedNames/>
  <calcPr/>
</workbook>
</file>

<file path=xl/sharedStrings.xml><?xml version="1.0" encoding="utf-8"?>
<sst xmlns="http://schemas.openxmlformats.org/spreadsheetml/2006/main" count="49" uniqueCount="35">
  <si>
    <t>Metric</t>
  </si>
  <si>
    <t>Pre-Implementation</t>
  </si>
  <si>
    <t>Post-Implementation</t>
  </si>
  <si>
    <t>Improvement</t>
  </si>
  <si>
    <t>CSAT Score</t>
  </si>
  <si>
    <t>First Contact Resolution</t>
  </si>
  <si>
    <t>Escalation Rate</t>
  </si>
  <si>
    <t>Repeat Contact Rate</t>
  </si>
  <si>
    <t>Avg Resolution Time</t>
  </si>
  <si>
    <t>52 mins</t>
  </si>
  <si>
    <t>31 mins</t>
  </si>
  <si>
    <t>NPS Score</t>
  </si>
  <si>
    <t>Resolved Tickets</t>
  </si>
  <si>
    <t>Week</t>
  </si>
  <si>
    <t>Week 1 (baseline)</t>
  </si>
  <si>
    <t>Week 2</t>
  </si>
  <si>
    <t>Week 3</t>
  </si>
  <si>
    <t>Week 4 (framework launch)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</si>
  <si>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</si>
  <si>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</si>
  <si>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</si>
  <si>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</si>
  <si>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</si>
  <si>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</si>
  <si>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</si>
  <si>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</si>
  <si>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Escalation Rate %</t>
  </si>
  <si>
    <t>Module</t>
  </si>
  <si>
    <t>Completion %</t>
  </si>
  <si>
    <t>De-escalation Skills</t>
  </si>
  <si>
    <t>Policy &amp; Compliance</t>
  </si>
  <si>
    <t>CX Tools &amp; CRM</t>
  </si>
  <si>
    <t>Empathy &amp; Active Listening</t>
  </si>
  <si>
    <t>Upsell &amp; Retention</t>
  </si>
  <si>
    <t>Multilingual Communications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</si>
</sst>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Clarify CX - Pre vs Post Implementation KPIs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'Before Vs After'!$B$1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'Before Vs After'!$A$2:$A$8</c:f>
            </c:strRef>
          </c:cat>
          <c:val>
            <c:numRef>
              <c:f>'Before Vs After'!$B$2:$B$8</c:f>
              <c:numCache/>
            </c:numRef>
          </c:val>
        </c:ser>
        <c:ser>
          <c:idx val="1"/>
          <c:order val="1"/>
          <c:tx>
            <c:strRef>
              <c:f>'Before Vs After'!$C$1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'Before Vs After'!$A$2:$A$8</c:f>
            </c:strRef>
          </c:cat>
          <c:val>
            <c:numRef>
              <c:f>'Before Vs After'!$C$2:$C$8</c:f>
              <c:numCache/>
            </c:numRef>
          </c:val>
        </c:ser>
        <c:axId val="1418322341"/>
        <c:axId val="1447975719"/>
      </c:barChart>
      <c:catAx>
        <c:axId val="1418322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7975719"/>
      </c:catAx>
      <c:valAx>
        <c:axId val="1447975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3223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CSAT Trend - Clarify CX Transformation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'CSAT Trend'!$B$1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'CSAT Trend'!$A$2:$A$13</c:f>
            </c:strRef>
          </c:cat>
          <c:val>
            <c:numRef>
              <c:f>'CSAT Trend'!$B$2:$B$13</c:f>
              <c:numCache/>
            </c:numRef>
          </c:val>
          <c:smooth val="0"/>
        </c:ser>
        <c:axId val="249589040"/>
        <c:axId val="661966012"/>
      </c:lineChart>
      <c:catAx>
        <c:axId val="24958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1966012"/>
      </c:catAx>
      <c:valAx>
        <c:axId val="661966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CSAT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9589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Escalation Rate - Clarify CX Transformation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'Escalation Trend'!$B$1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'Escalation Trend'!$A$2:$A$13</c:f>
            </c:strRef>
          </c:cat>
          <c:val>
            <c:numRef>
              <c:f>'Escalation Trend'!$B$2:$B$13</c:f>
              <c:numCache/>
            </c:numRef>
          </c:val>
          <c:smooth val="0"/>
        </c:ser>
        <c:axId val="507472783"/>
        <c:axId val="490891385"/>
      </c:lineChart>
      <c:catAx>
        <c:axId val="507472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891385"/>
      </c:catAx>
      <c:valAx>
        <c:axId val="490891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Escalation Rate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7472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Agent Training Completion by Module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'Training Completion'!$B$1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'Training Completion'!$A$2:$A$7</c:f>
            </c:strRef>
          </c:cat>
          <c:val>
            <c:numRef>
              <c:f>'Training Completion'!$B$2:$B$7</c:f>
              <c:numCache/>
            </c:numRef>
          </c:val>
        </c:ser>
        <c:axId val="1177299603"/>
        <c:axId val="1701473780"/>
      </c:barChart>
      <c:catAx>
        <c:axId val="1177299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Module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1473780"/>
      </c:catAx>
      <c:valAx>
        <c:axId val="1701473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Completion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2996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304800</xdr:colOff>
      <xdr:row>2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609600</xdr:colOff>
      <xdr:row>4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800100</xdr:colOff>
      <xdr:row>3</xdr:row>
      <xdr:rowOff>152400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4</xdr:row>
      <xdr:rowOff>171450</xdr:rowOff>
    </xdr:from>
    <xdr:ext cx="669607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6.5"/>
    <col customWidth="1" min="3" max="3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5.1</v>
      </c>
      <c r="C2" s="2">
        <v>9.4</v>
      </c>
      <c r="D2" s="3">
        <f>+84%</f>
        <v>0.84</v>
      </c>
    </row>
    <row r="3">
      <c r="A3" s="2" t="s">
        <v>5</v>
      </c>
      <c r="B3" s="4">
        <v>0.63</v>
      </c>
      <c r="C3" s="4">
        <v>0.87</v>
      </c>
      <c r="D3" s="3">
        <f>+38%</f>
        <v>0.38</v>
      </c>
    </row>
    <row r="4">
      <c r="A4" s="2" t="s">
        <v>6</v>
      </c>
      <c r="B4" s="5">
        <v>0.286</v>
      </c>
      <c r="C4" s="4">
        <v>0.1</v>
      </c>
      <c r="D4" s="4">
        <v>-0.65</v>
      </c>
    </row>
    <row r="5">
      <c r="A5" s="2" t="s">
        <v>7</v>
      </c>
      <c r="B5" s="4">
        <v>0.29</v>
      </c>
      <c r="C5" s="5">
        <v>0.138</v>
      </c>
      <c r="D5" s="4">
        <v>-0.52</v>
      </c>
    </row>
    <row r="6">
      <c r="A6" s="2" t="s">
        <v>8</v>
      </c>
      <c r="B6" s="2" t="s">
        <v>9</v>
      </c>
      <c r="C6" s="2" t="s">
        <v>10</v>
      </c>
      <c r="D6" s="4">
        <v>-0.4</v>
      </c>
    </row>
    <row r="7">
      <c r="A7" s="2" t="s">
        <v>11</v>
      </c>
      <c r="B7" s="3">
        <f>+34</f>
        <v>34</v>
      </c>
      <c r="C7" s="3">
        <f>+61</f>
        <v>61</v>
      </c>
      <c r="D7" s="3">
        <f>+79%</f>
        <v>0.79</v>
      </c>
    </row>
    <row r="8">
      <c r="A8" s="2" t="s">
        <v>12</v>
      </c>
      <c r="B8" s="5">
        <v>0.788</v>
      </c>
      <c r="C8" s="5">
        <v>0.936</v>
      </c>
      <c r="D8" s="3">
        <f>+19%</f>
        <v>0.19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1" t="s">
        <v>13</v>
      </c>
      <c r="B1" s="1" t="s">
        <v>4</v>
      </c>
    </row>
    <row r="2">
      <c r="A2" s="2" t="s">
        <v>14</v>
      </c>
      <c r="B2" s="2">
        <v>5.1</v>
      </c>
    </row>
    <row r="3">
      <c r="A3" s="2" t="s">
        <v>15</v>
      </c>
      <c r="B3" s="2">
        <v>5.3</v>
      </c>
    </row>
    <row r="4">
      <c r="A4" s="2" t="s">
        <v>16</v>
      </c>
      <c r="B4" s="2">
        <v>5.0</v>
      </c>
    </row>
    <row r="5">
      <c r="A5" s="2" t="s">
        <v>17</v>
      </c>
      <c r="B5" s="2">
        <v>5.8</v>
      </c>
    </row>
    <row r="6">
      <c r="A6" s="2" t="s">
        <v>18</v>
      </c>
      <c r="B6" s="2">
        <v>6.4</v>
      </c>
    </row>
    <row r="7">
      <c r="A7" s="2" t="s">
        <v>19</v>
      </c>
      <c r="B7" s="2">
        <v>7.1</v>
      </c>
    </row>
    <row r="8">
      <c r="A8" s="2" t="s">
        <v>20</v>
      </c>
      <c r="B8" s="2">
        <v>7.6</v>
      </c>
    </row>
    <row r="9">
      <c r="A9" s="2" t="s">
        <v>21</v>
      </c>
      <c r="B9" s="2">
        <v>8.0</v>
      </c>
    </row>
    <row r="10">
      <c r="A10" s="2" t="s">
        <v>22</v>
      </c>
      <c r="B10" s="2">
        <v>8.3</v>
      </c>
    </row>
    <row r="11">
      <c r="A11" s="2" t="s">
        <v>23</v>
      </c>
      <c r="B11" s="2">
        <v>8.7</v>
      </c>
    </row>
    <row r="12">
      <c r="A12" s="2" t="s">
        <v>24</v>
      </c>
      <c r="B12" s="2">
        <v>9.0</v>
      </c>
    </row>
    <row r="13">
      <c r="A13" s="2" t="s">
        <v>25</v>
      </c>
      <c r="B13" s="2">
        <v>9.4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1" t="s">
        <v>13</v>
      </c>
      <c r="B1" s="1" t="s">
        <v>26</v>
      </c>
    </row>
    <row r="2">
      <c r="A2" s="2" t="s">
        <v>14</v>
      </c>
      <c r="B2" s="2">
        <v>28.6</v>
      </c>
    </row>
    <row r="3">
      <c r="A3" s="2" t="s">
        <v>15</v>
      </c>
      <c r="B3" s="2">
        <v>27.9</v>
      </c>
    </row>
    <row r="4">
      <c r="A4" s="2" t="s">
        <v>16</v>
      </c>
      <c r="B4" s="2">
        <v>27.1</v>
      </c>
    </row>
    <row r="5">
      <c r="A5" s="2" t="s">
        <v>17</v>
      </c>
      <c r="B5" s="2">
        <v>24.3</v>
      </c>
    </row>
    <row r="6">
      <c r="A6" s="2" t="s">
        <v>18</v>
      </c>
      <c r="B6" s="2">
        <v>21.0</v>
      </c>
    </row>
    <row r="7">
      <c r="A7" s="2" t="s">
        <v>19</v>
      </c>
      <c r="B7" s="2">
        <v>18.4</v>
      </c>
    </row>
    <row r="8">
      <c r="A8" s="2" t="s">
        <v>20</v>
      </c>
      <c r="B8" s="2">
        <v>16.1</v>
      </c>
    </row>
    <row r="9">
      <c r="A9" s="2" t="s">
        <v>21</v>
      </c>
      <c r="B9" s="2">
        <v>14.8</v>
      </c>
    </row>
    <row r="10">
      <c r="A10" s="2" t="s">
        <v>22</v>
      </c>
      <c r="B10" s="2">
        <v>13.2</v>
      </c>
    </row>
    <row r="11">
      <c r="A11" s="2" t="s">
        <v>23</v>
      </c>
      <c r="B11" s="2">
        <v>11.9</v>
      </c>
    </row>
    <row r="12">
      <c r="A12" s="2" t="s">
        <v>24</v>
      </c>
      <c r="B12" s="2">
        <v>10.8</v>
      </c>
    </row>
    <row r="13">
      <c r="A13" s="2" t="s">
        <v>25</v>
      </c>
      <c r="B13" s="2">
        <v>10.0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1" t="s">
        <v>27</v>
      </c>
      <c r="B1" s="1" t="s">
        <v>28</v>
      </c>
    </row>
    <row r="2">
      <c r="A2" s="2" t="s">
        <v>29</v>
      </c>
      <c r="B2" s="2">
        <v>92.0</v>
      </c>
    </row>
    <row r="3">
      <c r="A3" s="2" t="s">
        <v>30</v>
      </c>
      <c r="B3" s="2">
        <v>100.0</v>
      </c>
    </row>
    <row r="4">
      <c r="A4" s="2" t="s">
        <v>31</v>
      </c>
      <c r="B4" s="2">
        <v>75.0</v>
      </c>
    </row>
    <row r="5">
      <c r="A5" s="2" t="s">
        <v>32</v>
      </c>
      <c r="B5" s="2">
        <v>83.0</v>
      </c>
    </row>
    <row r="6">
      <c r="A6" s="2" t="s">
        <v>33</v>
      </c>
      <c r="B6" s="2">
        <v>58.0</v>
      </c>
    </row>
    <row r="7">
      <c r="A7" s="2" t="s">
        <v>34</v>
      </c>
      <c r="B7" s="2">
        <v>42.0</v>
      </c>
    </row>
  </sheetData>
  <drawing r:id="rId1"/>
</worksheet>
</file>